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NPV-I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0"/>
    </font>
    <font>
      <b val="1"/>
      <color rgb="00FFFFFF"/>
      <sz val="11"/>
    </font>
    <font>
      <b val="1"/>
      <color rgb="001F4E79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s="1" t="inlineStr">
        <is>
          <t>Detroit Plant — Phase 3 Capex Model — FY27</t>
        </is>
      </c>
    </row>
    <row r="2">
      <c r="A2" s="2" t="inlineStr">
        <is>
          <t>Specialty chemicals capacity expansion. EUR-denominated equipment; USD reporting.</t>
        </is>
      </c>
    </row>
    <row r="3"/>
    <row r="4">
      <c r="A4" s="3" t="inlineStr">
        <is>
          <t>Assumption</t>
        </is>
      </c>
      <c r="B4" s="3" t="inlineStr">
        <is>
          <t>Value</t>
        </is>
      </c>
    </row>
    <row r="5">
      <c r="A5" s="4" t="inlineStr">
        <is>
          <t>Project life (years)</t>
        </is>
      </c>
      <c r="B5" s="4" t="n">
        <v>15</v>
      </c>
    </row>
    <row r="6">
      <c r="A6" s="4" t="inlineStr">
        <is>
          <t>Construction period (years)</t>
        </is>
      </c>
      <c r="B6" s="4" t="n">
        <v>2</v>
      </c>
    </row>
    <row r="7">
      <c r="A7" s="4" t="inlineStr">
        <is>
          <t>Discount rate (WACC, %)</t>
        </is>
      </c>
      <c r="B7" s="4" t="n">
        <v>8.5</v>
      </c>
    </row>
    <row r="8">
      <c r="A8" s="4" t="inlineStr">
        <is>
          <t>Tax rate (%)</t>
        </is>
      </c>
      <c r="B8" s="4" t="n">
        <v>21</v>
      </c>
    </row>
    <row r="9">
      <c r="A9" s="4" t="inlineStr">
        <is>
          <t>Inflation (%)</t>
        </is>
      </c>
      <c r="B9" s="4" t="n">
        <v>2.5</v>
      </c>
    </row>
    <row r="10">
      <c r="A10" s="4" t="inlineStr">
        <is>
          <t>EUR/USD spot at model date</t>
        </is>
      </c>
      <c r="B10" s="4" t="n">
        <v>1.085</v>
      </c>
    </row>
    <row r="11">
      <c r="A11" s="4" t="inlineStr">
        <is>
          <t>Primary equipment EUR cost (000s)</t>
        </is>
      </c>
      <c r="B11" s="4" t="n">
        <v>78400</v>
      </c>
    </row>
    <row r="12">
      <c r="A12" s="4" t="inlineStr">
        <is>
          <t>Local construction USD cost (000s)</t>
        </is>
      </c>
      <c r="B12" s="4" t="n">
        <v>92500</v>
      </c>
    </row>
    <row r="13">
      <c r="A13" s="4" t="inlineStr">
        <is>
          <t>Annual maintenance capex (% of gross PPE)</t>
        </is>
      </c>
      <c r="B13" s="4" t="n">
        <v>1.8</v>
      </c>
    </row>
    <row r="14">
      <c r="A14" s="4" t="inlineStr">
        <is>
          <t>Annual production capacity (kt)</t>
        </is>
      </c>
      <c r="B14" s="4" t="n">
        <v>110</v>
      </c>
    </row>
    <row r="15">
      <c r="A15" s="4" t="inlineStr">
        <is>
          <t>Selling price per t (USD)</t>
        </is>
      </c>
      <c r="B15" s="4" t="n">
        <v>2450</v>
      </c>
    </row>
    <row r="16">
      <c r="A16" s="4" t="inlineStr">
        <is>
          <t>Variable cost per t (USD)</t>
        </is>
      </c>
      <c r="B16" s="4" t="n">
        <v>1380</v>
      </c>
    </row>
    <row r="17">
      <c r="A17" s="4" t="inlineStr">
        <is>
          <t>Fixed costs per year (USD 000s)</t>
        </is>
      </c>
      <c r="B17" s="4" t="n">
        <v>14200</v>
      </c>
    </row>
    <row r="18">
      <c r="A18" s="4" t="inlineStr">
        <is>
          <t>Working-capital % of revenue</t>
        </is>
      </c>
      <c r="B18" s="4" t="n">
        <v>12</v>
      </c>
    </row>
    <row r="19">
      <c r="A19" s="4" t="inlineStr">
        <is>
          <t>Salvage value (USD 000s)</t>
        </is>
      </c>
      <c r="B19" s="4" t="n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5" t="inlineStr">
        <is>
          <t>Detroit Phase 3 — 15-year P&amp;L Forecast (USD 000s)</t>
        </is>
      </c>
    </row>
    <row r="2"/>
    <row r="3">
      <c r="A3" s="6" t="inlineStr">
        <is>
          <t>Line</t>
        </is>
      </c>
      <c r="B3" s="6" t="inlineStr">
        <is>
          <t>FY2027</t>
        </is>
      </c>
      <c r="C3" s="6" t="inlineStr">
        <is>
          <t>FY2028</t>
        </is>
      </c>
      <c r="D3" s="6" t="inlineStr">
        <is>
          <t>FY2029</t>
        </is>
      </c>
      <c r="E3" s="6" t="inlineStr">
        <is>
          <t>FY2030</t>
        </is>
      </c>
      <c r="F3" s="6" t="inlineStr">
        <is>
          <t>FY2031</t>
        </is>
      </c>
      <c r="G3" s="6" t="inlineStr">
        <is>
          <t>FY2032</t>
        </is>
      </c>
      <c r="H3" s="6" t="inlineStr">
        <is>
          <t>FY2033</t>
        </is>
      </c>
      <c r="I3" s="6" t="inlineStr">
        <is>
          <t>FY2034</t>
        </is>
      </c>
      <c r="J3" s="6" t="inlineStr">
        <is>
          <t>FY2035</t>
        </is>
      </c>
      <c r="K3" s="6" t="inlineStr">
        <is>
          <t>FY2036</t>
        </is>
      </c>
      <c r="L3" s="6" t="inlineStr">
        <is>
          <t>FY2037</t>
        </is>
      </c>
      <c r="M3" s="6" t="inlineStr">
        <is>
          <t>FY2038</t>
        </is>
      </c>
      <c r="N3" s="6" t="inlineStr">
        <is>
          <t>FY2039</t>
        </is>
      </c>
      <c r="O3" s="6" t="inlineStr">
        <is>
          <t>FY2040</t>
        </is>
      </c>
      <c r="P3" s="6" t="inlineStr">
        <is>
          <t>FY2041</t>
        </is>
      </c>
    </row>
    <row r="4">
      <c r="A4" s="4" t="inlineStr">
        <is>
          <t>Revenue</t>
        </is>
      </c>
      <c r="B4" s="4" t="n">
        <v>121275</v>
      </c>
      <c r="C4" s="4" t="n">
        <v>207178</v>
      </c>
      <c r="D4" s="4" t="n">
        <v>254829</v>
      </c>
      <c r="E4" s="4" t="n">
        <v>275711</v>
      </c>
      <c r="F4" s="4" t="n">
        <v>288553</v>
      </c>
      <c r="G4" s="4" t="n">
        <v>298816</v>
      </c>
      <c r="H4" s="4" t="n">
        <v>306287</v>
      </c>
      <c r="I4" s="4" t="n">
        <v>313944</v>
      </c>
      <c r="J4" s="4" t="n">
        <v>321792</v>
      </c>
      <c r="K4" s="4" t="n">
        <v>326472</v>
      </c>
      <c r="L4" s="4" t="n">
        <v>331183</v>
      </c>
      <c r="M4" s="4" t="n">
        <v>332391</v>
      </c>
      <c r="N4" s="4" t="n">
        <v>329827</v>
      </c>
      <c r="O4" s="4" t="n">
        <v>326928</v>
      </c>
      <c r="P4" s="4" t="n">
        <v>319869</v>
      </c>
    </row>
    <row r="5">
      <c r="A5" s="4" t="inlineStr">
        <is>
          <t>Variable cost</t>
        </is>
      </c>
      <c r="B5" s="4" t="n">
        <v>-68310</v>
      </c>
      <c r="C5" s="4" t="n">
        <v>-116696</v>
      </c>
      <c r="D5" s="4" t="n">
        <v>-143536</v>
      </c>
      <c r="E5" s="4" t="n">
        <v>-155298</v>
      </c>
      <c r="F5" s="4" t="n">
        <v>-162532</v>
      </c>
      <c r="G5" s="4" t="n">
        <v>-168313</v>
      </c>
      <c r="H5" s="4" t="n">
        <v>-172521</v>
      </c>
      <c r="I5" s="4" t="n">
        <v>-176834</v>
      </c>
      <c r="J5" s="4" t="n">
        <v>-181254</v>
      </c>
      <c r="K5" s="4" t="n">
        <v>-183890</v>
      </c>
      <c r="L5" s="4" t="n">
        <v>-186544</v>
      </c>
      <c r="M5" s="4" t="n">
        <v>-187224</v>
      </c>
      <c r="N5" s="4" t="n">
        <v>-185780</v>
      </c>
      <c r="O5" s="4" t="n">
        <v>-184147</v>
      </c>
      <c r="P5" s="4" t="n">
        <v>-180171</v>
      </c>
    </row>
    <row r="6">
      <c r="A6" s="7" t="inlineStr">
        <is>
          <t>Gross profit</t>
        </is>
      </c>
      <c r="B6" s="4" t="n">
        <v>52965</v>
      </c>
      <c r="C6" s="4" t="n">
        <v>90482</v>
      </c>
      <c r="D6" s="4" t="n">
        <v>111293</v>
      </c>
      <c r="E6" s="4" t="n">
        <v>120413</v>
      </c>
      <c r="F6" s="4" t="n">
        <v>126021</v>
      </c>
      <c r="G6" s="4" t="n">
        <v>130503</v>
      </c>
      <c r="H6" s="4" t="n">
        <v>133766</v>
      </c>
      <c r="I6" s="4" t="n">
        <v>137110</v>
      </c>
      <c r="J6" s="4" t="n">
        <v>140538</v>
      </c>
      <c r="K6" s="4" t="n">
        <v>142582</v>
      </c>
      <c r="L6" s="4" t="n">
        <v>144639</v>
      </c>
      <c r="M6" s="4" t="n">
        <v>145167</v>
      </c>
      <c r="N6" s="4" t="n">
        <v>144047</v>
      </c>
      <c r="O6" s="4" t="n">
        <v>142781</v>
      </c>
      <c r="P6" s="4" t="n">
        <v>139698</v>
      </c>
    </row>
    <row r="7">
      <c r="A7" s="4" t="inlineStr">
        <is>
          <t>Fixed cost</t>
        </is>
      </c>
      <c r="B7" s="4" t="n">
        <v>-14200</v>
      </c>
      <c r="C7" s="4" t="n">
        <v>-14555</v>
      </c>
      <c r="D7" s="4" t="n">
        <v>-14919</v>
      </c>
      <c r="E7" s="4" t="n">
        <v>-15292</v>
      </c>
      <c r="F7" s="4" t="n">
        <v>-15674</v>
      </c>
      <c r="G7" s="4" t="n">
        <v>-16066</v>
      </c>
      <c r="H7" s="4" t="n">
        <v>-16468</v>
      </c>
      <c r="I7" s="4" t="n">
        <v>-16879</v>
      </c>
      <c r="J7" s="4" t="n">
        <v>-17301</v>
      </c>
      <c r="K7" s="4" t="n">
        <v>-17734</v>
      </c>
      <c r="L7" s="4" t="n">
        <v>-18177</v>
      </c>
      <c r="M7" s="4" t="n">
        <v>-18632</v>
      </c>
      <c r="N7" s="4" t="n">
        <v>-19097</v>
      </c>
      <c r="O7" s="4" t="n">
        <v>-19575</v>
      </c>
      <c r="P7" s="4" t="n">
        <v>-20064</v>
      </c>
    </row>
    <row r="8">
      <c r="A8" s="7" t="inlineStr">
        <is>
          <t>EBITDA</t>
        </is>
      </c>
      <c r="B8" s="4" t="n">
        <v>38765</v>
      </c>
      <c r="C8" s="4" t="n">
        <v>75927</v>
      </c>
      <c r="D8" s="4" t="n">
        <v>96374</v>
      </c>
      <c r="E8" s="4" t="n">
        <v>105121</v>
      </c>
      <c r="F8" s="4" t="n">
        <v>110347</v>
      </c>
      <c r="G8" s="4" t="n">
        <v>114437</v>
      </c>
      <c r="H8" s="4" t="n">
        <v>117298</v>
      </c>
      <c r="I8" s="4" t="n">
        <v>120231</v>
      </c>
      <c r="J8" s="4" t="n">
        <v>123237</v>
      </c>
      <c r="K8" s="4" t="n">
        <v>124848</v>
      </c>
      <c r="L8" s="4" t="n">
        <v>126462</v>
      </c>
      <c r="M8" s="4" t="n">
        <v>126535</v>
      </c>
      <c r="N8" s="4" t="n">
        <v>124950</v>
      </c>
      <c r="O8" s="4" t="n">
        <v>123206</v>
      </c>
      <c r="P8" s="4" t="n">
        <v>119634</v>
      </c>
    </row>
    <row r="9">
      <c r="A9" s="4" t="inlineStr">
        <is>
          <t>D&amp;A</t>
        </is>
      </c>
      <c r="B9" s="4" t="n">
        <v>-11838</v>
      </c>
      <c r="C9" s="4" t="n">
        <v>-11838</v>
      </c>
      <c r="D9" s="4" t="n">
        <v>-11838</v>
      </c>
      <c r="E9" s="4" t="n">
        <v>-11838</v>
      </c>
      <c r="F9" s="4" t="n">
        <v>-11838</v>
      </c>
      <c r="G9" s="4" t="n">
        <v>-11838</v>
      </c>
      <c r="H9" s="4" t="n">
        <v>-11838</v>
      </c>
      <c r="I9" s="4" t="n">
        <v>-11838</v>
      </c>
      <c r="J9" s="4" t="n">
        <v>-11838</v>
      </c>
      <c r="K9" s="4" t="n">
        <v>-11838</v>
      </c>
      <c r="L9" s="4" t="n">
        <v>-11838</v>
      </c>
      <c r="M9" s="4" t="n">
        <v>-11838</v>
      </c>
      <c r="N9" s="4" t="n">
        <v>-11838</v>
      </c>
      <c r="O9" s="4" t="n">
        <v>-11838</v>
      </c>
      <c r="P9" s="4" t="n">
        <v>-11838</v>
      </c>
    </row>
    <row r="10">
      <c r="A10" s="7" t="inlineStr">
        <is>
          <t>EBIT</t>
        </is>
      </c>
      <c r="B10" s="4" t="n">
        <v>26927</v>
      </c>
      <c r="C10" s="4" t="n">
        <v>64089</v>
      </c>
      <c r="D10" s="4" t="n">
        <v>84536</v>
      </c>
      <c r="E10" s="4" t="n">
        <v>93283</v>
      </c>
      <c r="F10" s="4" t="n">
        <v>98509</v>
      </c>
      <c r="G10" s="4" t="n">
        <v>102599</v>
      </c>
      <c r="H10" s="4" t="n">
        <v>105460</v>
      </c>
      <c r="I10" s="4" t="n">
        <v>108393</v>
      </c>
      <c r="J10" s="4" t="n">
        <v>111399</v>
      </c>
      <c r="K10" s="4" t="n">
        <v>113010</v>
      </c>
      <c r="L10" s="4" t="n">
        <v>114624</v>
      </c>
      <c r="M10" s="4" t="n">
        <v>114697</v>
      </c>
      <c r="N10" s="4" t="n">
        <v>113112</v>
      </c>
      <c r="O10" s="4" t="n">
        <v>111368</v>
      </c>
      <c r="P10" s="4" t="n">
        <v>107796</v>
      </c>
    </row>
    <row r="11">
      <c r="A11" s="4" t="inlineStr">
        <is>
          <t>Tax</t>
        </is>
      </c>
      <c r="B11" s="4" t="n">
        <v>-5655</v>
      </c>
      <c r="C11" s="4" t="n">
        <v>-13459</v>
      </c>
      <c r="D11" s="4" t="n">
        <v>-17753</v>
      </c>
      <c r="E11" s="4" t="n">
        <v>-19589</v>
      </c>
      <c r="F11" s="4" t="n">
        <v>-20687</v>
      </c>
      <c r="G11" s="4" t="n">
        <v>-21546</v>
      </c>
      <c r="H11" s="4" t="n">
        <v>-22147</v>
      </c>
      <c r="I11" s="4" t="n">
        <v>-22763</v>
      </c>
      <c r="J11" s="4" t="n">
        <v>-23394</v>
      </c>
      <c r="K11" s="4" t="n">
        <v>-23732</v>
      </c>
      <c r="L11" s="4" t="n">
        <v>-24071</v>
      </c>
      <c r="M11" s="4" t="n">
        <v>-24086</v>
      </c>
      <c r="N11" s="4" t="n">
        <v>-23754</v>
      </c>
      <c r="O11" s="4" t="n">
        <v>-23387</v>
      </c>
      <c r="P11" s="4" t="n">
        <v>-22637</v>
      </c>
    </row>
    <row r="12">
      <c r="A12" s="7" t="inlineStr">
        <is>
          <t>NOPAT</t>
        </is>
      </c>
      <c r="B12" s="4" t="n">
        <v>21272</v>
      </c>
      <c r="C12" s="4" t="n">
        <v>50630</v>
      </c>
      <c r="D12" s="4" t="n">
        <v>66783</v>
      </c>
      <c r="E12" s="4" t="n">
        <v>73694</v>
      </c>
      <c r="F12" s="4" t="n">
        <v>77822</v>
      </c>
      <c r="G12" s="4" t="n">
        <v>81053</v>
      </c>
      <c r="H12" s="4" t="n">
        <v>83313</v>
      </c>
      <c r="I12" s="4" t="n">
        <v>85630</v>
      </c>
      <c r="J12" s="4" t="n">
        <v>88005</v>
      </c>
      <c r="K12" s="4" t="n">
        <v>89278</v>
      </c>
      <c r="L12" s="4" t="n">
        <v>90553</v>
      </c>
      <c r="M12" s="4" t="n">
        <v>90611</v>
      </c>
      <c r="N12" s="4" t="n">
        <v>89358</v>
      </c>
      <c r="O12" s="4" t="n">
        <v>87981</v>
      </c>
      <c r="P12" s="4" t="n">
        <v>85159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5" t="inlineStr">
        <is>
          <t>NPV / IRR / Payback</t>
        </is>
      </c>
    </row>
    <row r="2"/>
    <row r="3">
      <c r="A3" s="6" t="inlineStr">
        <is>
          <t>Year</t>
        </is>
      </c>
      <c r="B3" s="6" t="inlineStr">
        <is>
          <t>2025</t>
        </is>
      </c>
      <c r="C3" s="6" t="inlineStr">
        <is>
          <t>2026</t>
        </is>
      </c>
      <c r="D3" s="6" t="inlineStr">
        <is>
          <t>2027</t>
        </is>
      </c>
      <c r="E3" s="6" t="inlineStr">
        <is>
          <t>2028</t>
        </is>
      </c>
      <c r="F3" s="6" t="inlineStr">
        <is>
          <t>2029</t>
        </is>
      </c>
      <c r="G3" s="6" t="inlineStr">
        <is>
          <t>2030</t>
        </is>
      </c>
      <c r="H3" s="6" t="inlineStr">
        <is>
          <t>2031</t>
        </is>
      </c>
      <c r="I3" s="6" t="inlineStr">
        <is>
          <t>2032</t>
        </is>
      </c>
      <c r="J3" s="6" t="inlineStr">
        <is>
          <t>2033</t>
        </is>
      </c>
      <c r="K3" s="6" t="inlineStr">
        <is>
          <t>2034</t>
        </is>
      </c>
      <c r="L3" s="6" t="inlineStr">
        <is>
          <t>2035</t>
        </is>
      </c>
      <c r="M3" s="6" t="inlineStr">
        <is>
          <t>2036</t>
        </is>
      </c>
      <c r="N3" s="6" t="inlineStr">
        <is>
          <t>2037</t>
        </is>
      </c>
      <c r="O3" s="6" t="inlineStr">
        <is>
          <t>2038</t>
        </is>
      </c>
      <c r="P3" s="6" t="inlineStr">
        <is>
          <t>2039</t>
        </is>
      </c>
      <c r="Q3" s="6" t="inlineStr">
        <is>
          <t>2040</t>
        </is>
      </c>
      <c r="R3" s="6" t="inlineStr">
        <is>
          <t>2041</t>
        </is>
      </c>
    </row>
    <row r="4">
      <c r="A4" s="4" t="inlineStr">
        <is>
          <t>FCF (USD 000s)</t>
        </is>
      </c>
      <c r="B4" s="4" t="n">
        <v>-131314</v>
      </c>
      <c r="C4" s="4" t="n">
        <v>-46250</v>
      </c>
      <c r="D4" s="4" t="n">
        <v>32504</v>
      </c>
      <c r="E4" s="4" t="n">
        <v>61432</v>
      </c>
      <c r="F4" s="4" t="n">
        <v>77347</v>
      </c>
      <c r="G4" s="4" t="n">
        <v>84153</v>
      </c>
      <c r="H4" s="4" t="n">
        <v>88217</v>
      </c>
      <c r="I4" s="4" t="n">
        <v>91397</v>
      </c>
      <c r="J4" s="4" t="n">
        <v>93620</v>
      </c>
      <c r="K4" s="4" t="n">
        <v>95898</v>
      </c>
      <c r="L4" s="4" t="n">
        <v>98234</v>
      </c>
      <c r="M4" s="4" t="n">
        <v>99484</v>
      </c>
      <c r="N4" s="4" t="n">
        <v>100735</v>
      </c>
      <c r="O4" s="4" t="n">
        <v>100787</v>
      </c>
      <c r="P4" s="4" t="n">
        <v>99547</v>
      </c>
      <c r="Q4" s="4" t="n">
        <v>98184</v>
      </c>
      <c r="R4" s="4" t="n">
        <v>113398</v>
      </c>
    </row>
    <row r="5"/>
    <row r="6">
      <c r="A6" s="8" t="inlineStr">
        <is>
          <t>Output metrics:</t>
        </is>
      </c>
    </row>
    <row r="7">
      <c r="A7" t="inlineStr">
        <is>
          <t>NPV @ 8.5% (USD 000s)</t>
        </is>
      </c>
      <c r="B7">
        <f>NPV(0.085, B4:R4)</f>
        <v/>
      </c>
    </row>
    <row r="8">
      <c r="A8" t="inlineStr">
        <is>
          <t>IRR</t>
        </is>
      </c>
      <c r="B8">
        <f>IRR(B4:R4)</f>
        <v/>
      </c>
    </row>
    <row r="9">
      <c r="A9" t="inlineStr">
        <is>
          <t>Payback (yrs)</t>
        </is>
      </c>
      <c r="B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2026-05-10T15:08:40Z</dcterms:created>
  <dcterms:modified xmlns:dcterms="http://purl.org/dc/terms/" xmlns:xsi="http://www.w3.org/2001/XMLSchema-instance" xsi:type="dcterms:W3CDTF">2026-05-10T15:08:40Z</dcterms:modified>
</cp:coreProperties>
</file>