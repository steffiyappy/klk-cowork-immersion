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te Performance" sheetId="1" state="visible" r:id="rId1"/>
    <sheet xmlns:r="http://schemas.openxmlformats.org/officeDocument/2006/relationships" name="Variance vs Plan" sheetId="2" state="visible" r:id="rId2"/>
    <sheet xmlns:r="http://schemas.openxmlformats.org/officeDocument/2006/relationships" name="Sustainability KPI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595959"/>
      <sz val="9"/>
    </font>
    <font>
      <b val="1"/>
      <color rgb="00FFFFFF"/>
      <sz val="11"/>
    </font>
    <font>
      <b val="1"/>
    </font>
    <font>
      <b val="1"/>
      <color rgb="001F4E79"/>
      <sz val="13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right"/>
    </xf>
    <xf numFmtId="0" fontId="4" fillId="3" borderId="1" pivotButton="0" quotePrefix="0" xfId="0"/>
    <xf numFmtId="0" fontId="5" fillId="0" borderId="0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22" customWidth="1" min="3" max="3"/>
    <col width="20" customWidth="1" min="4" max="4"/>
    <col width="20" customWidth="1" min="5" max="5"/>
    <col width="20" customWidth="1" min="6" max="6"/>
    <col width="19" customWidth="1" min="7" max="7"/>
    <col width="14" customWidth="1" min="8" max="8"/>
    <col width="14" customWidth="1" min="9" max="9"/>
    <col width="10" customWidth="1" min="10" max="10"/>
    <col width="14" customWidth="1" min="11" max="11"/>
    <col width="20" customWidth="1" min="12" max="12"/>
    <col width="19" customWidth="1" min="13" max="13"/>
    <col width="17" customWidth="1" min="14" max="14"/>
  </cols>
  <sheetData>
    <row r="1">
      <c r="A1" s="1" t="inlineStr">
        <is>
          <t>Contoso Group — Q1 FY26 Site Performance</t>
        </is>
      </c>
    </row>
    <row r="2">
      <c r="A2" s="2" t="inlineStr">
        <is>
          <t>All values USD 000s unless noted. Throughput in metric tons. Yield % = output / input feed.</t>
        </is>
      </c>
    </row>
    <row r="3"/>
    <row r="4">
      <c r="A4" s="3" t="inlineStr">
        <is>
          <t>Site</t>
        </is>
      </c>
      <c r="B4" s="3" t="inlineStr">
        <is>
          <t>Region</t>
        </is>
      </c>
      <c r="C4" s="3" t="inlineStr">
        <is>
          <t>Division</t>
        </is>
      </c>
      <c r="D4" s="3" t="inlineStr">
        <is>
          <t>Jan Throughput (t)</t>
        </is>
      </c>
      <c r="E4" s="3" t="inlineStr">
        <is>
          <t>Feb Throughput (t)</t>
        </is>
      </c>
      <c r="F4" s="3" t="inlineStr">
        <is>
          <t>Mar Throughput (t)</t>
        </is>
      </c>
      <c r="G4" s="3" t="inlineStr">
        <is>
          <t>Q1 Throughput (t)</t>
        </is>
      </c>
      <c r="H4" s="3" t="inlineStr">
        <is>
          <t>Yield % (Q1)</t>
        </is>
      </c>
      <c r="I4" s="3" t="inlineStr">
        <is>
          <t>Active Acres</t>
        </is>
      </c>
      <c r="J4" s="3" t="inlineStr">
        <is>
          <t>OEE %</t>
        </is>
      </c>
      <c r="K4" s="3" t="inlineStr">
        <is>
          <t>Safety LTIFR</t>
        </is>
      </c>
      <c r="L4" s="3" t="inlineStr">
        <is>
          <t>Revenue (USD 000s)</t>
        </is>
      </c>
      <c r="M4" s="3" t="inlineStr">
        <is>
          <t>EBITDA (USD 000s)</t>
        </is>
      </c>
      <c r="N4" s="3" t="inlineStr">
        <is>
          <t>EBITDA Margin %</t>
        </is>
      </c>
    </row>
    <row r="5">
      <c r="A5" s="4" t="inlineStr">
        <is>
          <t>Site Alpha</t>
        </is>
      </c>
      <c r="B5" s="4" t="inlineStr">
        <is>
          <t>North America</t>
        </is>
      </c>
      <c r="C5" s="4" t="inlineStr">
        <is>
          <t>Industrial Operations</t>
        </is>
      </c>
      <c r="D5" s="5" t="n">
        <v>18420</v>
      </c>
      <c r="E5" s="5" t="n">
        <v>17980</v>
      </c>
      <c r="F5" s="5" t="n">
        <v>18950</v>
      </c>
      <c r="G5" s="5" t="n">
        <v>55350</v>
      </c>
      <c r="H5" s="5" t="n">
        <v>22.4</v>
      </c>
      <c r="I5" s="5" t="n">
        <v>84200</v>
      </c>
      <c r="J5" s="5" t="n">
        <v>87.09999999999999</v>
      </c>
      <c r="K5" s="5" t="n">
        <v>0.42</v>
      </c>
      <c r="L5" s="5" t="n">
        <v>41196</v>
      </c>
      <c r="M5" s="5" t="n">
        <v>4655</v>
      </c>
      <c r="N5" s="5" t="n">
        <v>11.3</v>
      </c>
    </row>
    <row r="6">
      <c r="A6" s="4" t="inlineStr">
        <is>
          <t>Site Beta</t>
        </is>
      </c>
      <c r="B6" s="4" t="inlineStr">
        <is>
          <t>North America</t>
        </is>
      </c>
      <c r="C6" s="4" t="inlineStr">
        <is>
          <t>Industrial Operations</t>
        </is>
      </c>
      <c r="D6" s="5" t="n">
        <v>15600</v>
      </c>
      <c r="E6" s="5" t="n">
        <v>16200</v>
      </c>
      <c r="F6" s="5" t="n">
        <v>16850</v>
      </c>
      <c r="G6" s="5" t="n">
        <v>48650</v>
      </c>
      <c r="H6" s="5" t="n">
        <v>21.9</v>
      </c>
      <c r="I6" s="5" t="n">
        <v>71500</v>
      </c>
      <c r="J6" s="5" t="n">
        <v>82.7</v>
      </c>
      <c r="K6" s="5" t="n">
        <v>0.51</v>
      </c>
      <c r="L6" s="5" t="n">
        <v>32487</v>
      </c>
      <c r="M6" s="5" t="n">
        <v>4516</v>
      </c>
      <c r="N6" s="5" t="n">
        <v>13.9</v>
      </c>
    </row>
    <row r="7">
      <c r="A7" s="4" t="inlineStr">
        <is>
          <t>Site Gamma</t>
        </is>
      </c>
      <c r="B7" s="4" t="inlineStr">
        <is>
          <t>Europe</t>
        </is>
      </c>
      <c r="C7" s="4" t="inlineStr">
        <is>
          <t>Industrial Operations</t>
        </is>
      </c>
      <c r="D7" s="5" t="n">
        <v>12100</v>
      </c>
      <c r="E7" s="5" t="n">
        <v>11750</v>
      </c>
      <c r="F7" s="5" t="n">
        <v>12400</v>
      </c>
      <c r="G7" s="5" t="n">
        <v>36250</v>
      </c>
      <c r="H7" s="5" t="n">
        <v>23.1</v>
      </c>
      <c r="I7" s="5" t="n">
        <v>58300</v>
      </c>
      <c r="J7" s="5" t="n">
        <v>89.40000000000001</v>
      </c>
      <c r="K7" s="5" t="n">
        <v>0.28</v>
      </c>
      <c r="L7" s="5" t="n">
        <v>27719</v>
      </c>
      <c r="M7" s="5" t="n">
        <v>5488</v>
      </c>
      <c r="N7" s="5" t="n">
        <v>19.8</v>
      </c>
    </row>
    <row r="8">
      <c r="A8" s="4" t="inlineStr">
        <is>
          <t>Site Delta</t>
        </is>
      </c>
      <c r="B8" s="4" t="inlineStr">
        <is>
          <t>Asia-Pacific</t>
        </is>
      </c>
      <c r="C8" s="4" t="inlineStr">
        <is>
          <t>Industrial Operations</t>
        </is>
      </c>
      <c r="D8" s="5" t="n">
        <v>19850</v>
      </c>
      <c r="E8" s="5" t="n">
        <v>20100</v>
      </c>
      <c r="F8" s="5" t="n">
        <v>20750</v>
      </c>
      <c r="G8" s="5" t="n">
        <v>60700</v>
      </c>
      <c r="H8" s="5" t="n">
        <v>22.8</v>
      </c>
      <c r="I8" s="5" t="n">
        <v>92100</v>
      </c>
      <c r="J8" s="5" t="n">
        <v>86.2</v>
      </c>
      <c r="K8" s="5" t="n">
        <v>0.35</v>
      </c>
      <c r="L8" s="5" t="n">
        <v>48400</v>
      </c>
      <c r="M8" s="5" t="n">
        <v>5856</v>
      </c>
      <c r="N8" s="5" t="n">
        <v>12.1</v>
      </c>
    </row>
    <row r="9">
      <c r="A9" s="4" t="inlineStr">
        <is>
          <t>Site Epsilon</t>
        </is>
      </c>
      <c r="B9" s="4" t="inlineStr">
        <is>
          <t>Asia-Pacific</t>
        </is>
      </c>
      <c r="C9" s="4" t="inlineStr">
        <is>
          <t>Industrial Operations</t>
        </is>
      </c>
      <c r="D9" s="5" t="n">
        <v>9420</v>
      </c>
      <c r="E9" s="5" t="n">
        <v>9180</v>
      </c>
      <c r="F9" s="5" t="n">
        <v>9650</v>
      </c>
      <c r="G9" s="5" t="n">
        <v>28250</v>
      </c>
      <c r="H9" s="5" t="n">
        <v>21.2</v>
      </c>
      <c r="I9" s="5" t="n">
        <v>41600</v>
      </c>
      <c r="J9" s="5" t="n">
        <v>80.5</v>
      </c>
      <c r="K9" s="5" t="n">
        <v>0.48</v>
      </c>
      <c r="L9" s="5" t="n">
        <v>19735</v>
      </c>
      <c r="M9" s="5" t="n">
        <v>2250</v>
      </c>
      <c r="N9" s="5" t="n">
        <v>11.4</v>
      </c>
    </row>
    <row r="10">
      <c r="A10" s="4" t="inlineStr">
        <is>
          <t>Detroit Plant</t>
        </is>
      </c>
      <c r="B10" s="4" t="inlineStr">
        <is>
          <t>North America</t>
        </is>
      </c>
      <c r="C10" s="4" t="inlineStr">
        <is>
          <t>Manufacturing</t>
        </is>
      </c>
      <c r="D10" s="5" t="n">
        <v>24300</v>
      </c>
      <c r="E10" s="5" t="n">
        <v>24100</v>
      </c>
      <c r="F10" s="5" t="n">
        <v>25200</v>
      </c>
      <c r="G10" s="5" t="n">
        <v>73600</v>
      </c>
      <c r="H10" s="5" t="n">
        <v>19.8</v>
      </c>
      <c r="I10" s="5" t="inlineStr">
        <is>
          <t>n/a</t>
        </is>
      </c>
      <c r="J10" s="5" t="n">
        <v>91.3</v>
      </c>
      <c r="K10" s="5" t="n">
        <v>0.18</v>
      </c>
      <c r="L10" s="5" t="n">
        <v>48275</v>
      </c>
      <c r="M10" s="5" t="n">
        <v>8496</v>
      </c>
      <c r="N10" s="5" t="n">
        <v>17.6</v>
      </c>
    </row>
    <row r="11">
      <c r="A11" s="4" t="inlineStr">
        <is>
          <t>Pittsburgh Plant</t>
        </is>
      </c>
      <c r="B11" s="4" t="inlineStr">
        <is>
          <t>North America</t>
        </is>
      </c>
      <c r="C11" s="4" t="inlineStr">
        <is>
          <t>Manufacturing</t>
        </is>
      </c>
      <c r="D11" s="5" t="n">
        <v>18900</v>
      </c>
      <c r="E11" s="5" t="n">
        <v>19450</v>
      </c>
      <c r="F11" s="5" t="n">
        <v>19850</v>
      </c>
      <c r="G11" s="5" t="n">
        <v>58200</v>
      </c>
      <c r="H11" s="5" t="n">
        <v>19.2</v>
      </c>
      <c r="I11" s="5" t="inlineStr">
        <is>
          <t>n/a</t>
        </is>
      </c>
      <c r="J11" s="5" t="n">
        <v>88.7</v>
      </c>
      <c r="K11" s="5" t="n">
        <v>0.22</v>
      </c>
      <c r="L11" s="5" t="n">
        <v>35826</v>
      </c>
      <c r="M11" s="5" t="n">
        <v>4872</v>
      </c>
      <c r="N11" s="5" t="n">
        <v>13.6</v>
      </c>
    </row>
    <row r="12">
      <c r="A12" s="4" t="inlineStr">
        <is>
          <t>Düsseldorf Plant</t>
        </is>
      </c>
      <c r="B12" s="4" t="inlineStr">
        <is>
          <t>Europe</t>
        </is>
      </c>
      <c r="C12" s="4" t="inlineStr">
        <is>
          <t>Manufacturing</t>
        </is>
      </c>
      <c r="D12" s="5" t="n">
        <v>11200</v>
      </c>
      <c r="E12" s="5" t="n">
        <v>11100</v>
      </c>
      <c r="F12" s="5" t="n">
        <v>11580</v>
      </c>
      <c r="G12" s="5" t="n">
        <v>33880</v>
      </c>
      <c r="H12" s="5" t="n">
        <v>20.4</v>
      </c>
      <c r="I12" s="5" t="inlineStr">
        <is>
          <t>n/a</t>
        </is>
      </c>
      <c r="J12" s="5" t="n">
        <v>92.09999999999999</v>
      </c>
      <c r="K12" s="5" t="n">
        <v>0.15</v>
      </c>
      <c r="L12" s="5" t="n">
        <v>25291</v>
      </c>
      <c r="M12" s="5" t="n">
        <v>4578</v>
      </c>
      <c r="N12" s="5" t="n">
        <v>18.1</v>
      </c>
    </row>
    <row r="13">
      <c r="A13" s="6" t="inlineStr">
        <is>
          <t>GROUP TOTAL</t>
        </is>
      </c>
      <c r="B13" s="6" t="n"/>
      <c r="C13" s="6" t="n"/>
      <c r="D13" s="6">
        <f>SUM(D5:D12)</f>
        <v/>
      </c>
      <c r="E13" s="6">
        <f>SUM(E5:E12)</f>
        <v/>
      </c>
      <c r="F13" s="6">
        <f>SUM(F5:F12)</f>
        <v/>
      </c>
      <c r="G13" s="6">
        <f>SUM(G5:G12)</f>
        <v/>
      </c>
      <c r="H13" s="6" t="n"/>
      <c r="I13" s="6" t="n"/>
      <c r="J13" s="6" t="n"/>
      <c r="K13" s="6" t="n"/>
      <c r="L13" s="6">
        <f>SUM(L5:L12)</f>
        <v/>
      </c>
      <c r="M13" s="6">
        <f>SUM(M5:M12)</f>
        <v/>
      </c>
      <c r="N13" s="6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5" customWidth="1" min="3" max="3"/>
    <col width="14" customWidth="1" min="4" max="4"/>
    <col width="12" customWidth="1" min="5" max="5"/>
    <col width="16" customWidth="1" min="6" max="6"/>
    <col width="18" customWidth="1" min="7" max="7"/>
    <col width="12" customWidth="1" min="8" max="8"/>
    <col width="21" customWidth="1" min="9" max="9"/>
  </cols>
  <sheetData>
    <row r="1">
      <c r="A1" s="7" t="inlineStr">
        <is>
          <t>Q1 FY26 — Variance vs Plan (USD 000s)</t>
        </is>
      </c>
    </row>
    <row r="2"/>
    <row r="3">
      <c r="A3" s="3" t="inlineStr">
        <is>
          <t>Site</t>
        </is>
      </c>
      <c r="B3" s="3" t="inlineStr">
        <is>
          <t>Q1 Plan Rev</t>
        </is>
      </c>
      <c r="C3" s="3" t="inlineStr">
        <is>
          <t>Q1 Actual Rev</t>
        </is>
      </c>
      <c r="D3" s="3" t="inlineStr">
        <is>
          <t>Variance USD</t>
        </is>
      </c>
      <c r="E3" s="3" t="inlineStr">
        <is>
          <t>Variance %</t>
        </is>
      </c>
      <c r="F3" s="3" t="inlineStr">
        <is>
          <t>Q1 Plan EBITDA</t>
        </is>
      </c>
      <c r="G3" s="3" t="inlineStr">
        <is>
          <t>Q1 Actual EBITDA</t>
        </is>
      </c>
      <c r="H3" s="3" t="inlineStr">
        <is>
          <t>EBITDA Var</t>
        </is>
      </c>
      <c r="I3" s="3" t="inlineStr">
        <is>
          <t>Status</t>
        </is>
      </c>
    </row>
    <row r="4">
      <c r="A4" s="4" t="inlineStr">
        <is>
          <t>Site Alpha</t>
        </is>
      </c>
      <c r="B4" s="4" t="n">
        <v>35200</v>
      </c>
      <c r="C4" s="4" t="n">
        <v>38450</v>
      </c>
      <c r="D4" s="4" t="n">
        <v>3250</v>
      </c>
      <c r="E4" s="4" t="n">
        <v>9.199999999999999</v>
      </c>
      <c r="F4" s="4" t="n">
        <v>5800</v>
      </c>
      <c r="G4" s="4" t="n">
        <v>6320</v>
      </c>
      <c r="H4" s="4" t="n">
        <v>520</v>
      </c>
      <c r="I4" s="4" t="inlineStr">
        <is>
          <t>On / Above</t>
        </is>
      </c>
    </row>
    <row r="5">
      <c r="A5" s="4" t="inlineStr">
        <is>
          <t>Site Beta</t>
        </is>
      </c>
      <c r="B5" s="4" t="n">
        <v>28100</v>
      </c>
      <c r="C5" s="4" t="n">
        <v>28900</v>
      </c>
      <c r="D5" s="4" t="n">
        <v>800</v>
      </c>
      <c r="E5" s="4" t="n">
        <v>2.8</v>
      </c>
      <c r="F5" s="4" t="n">
        <v>4100</v>
      </c>
      <c r="G5" s="4" t="n">
        <v>3950</v>
      </c>
      <c r="H5" s="4" t="n">
        <v>-150</v>
      </c>
      <c r="I5" s="4" t="inlineStr">
        <is>
          <t>Watch</t>
        </is>
      </c>
    </row>
    <row r="6">
      <c r="A6" s="4" t="inlineStr">
        <is>
          <t>Site Gamma</t>
        </is>
      </c>
      <c r="B6" s="4" t="n">
        <v>24500</v>
      </c>
      <c r="C6" s="4" t="n">
        <v>26800</v>
      </c>
      <c r="D6" s="4" t="n">
        <v>2300</v>
      </c>
      <c r="E6" s="4" t="n">
        <v>9.4</v>
      </c>
      <c r="F6" s="4" t="n">
        <v>3900</v>
      </c>
      <c r="G6" s="4" t="n">
        <v>4520</v>
      </c>
      <c r="H6" s="4" t="n">
        <v>620</v>
      </c>
      <c r="I6" s="4" t="inlineStr">
        <is>
          <t>On / Above</t>
        </is>
      </c>
    </row>
    <row r="7">
      <c r="A7" s="4" t="inlineStr">
        <is>
          <t>Site Delta</t>
        </is>
      </c>
      <c r="B7" s="4" t="n">
        <v>42900</v>
      </c>
      <c r="C7" s="4" t="n">
        <v>45700</v>
      </c>
      <c r="D7" s="4" t="n">
        <v>2800</v>
      </c>
      <c r="E7" s="4" t="n">
        <v>6.5</v>
      </c>
      <c r="F7" s="4" t="n">
        <v>6200</v>
      </c>
      <c r="G7" s="4" t="n">
        <v>6850</v>
      </c>
      <c r="H7" s="4" t="n">
        <v>650</v>
      </c>
      <c r="I7" s="4" t="inlineStr">
        <is>
          <t>On / Above</t>
        </is>
      </c>
    </row>
    <row r="8">
      <c r="A8" s="8" t="inlineStr">
        <is>
          <t>Site Epsilon</t>
        </is>
      </c>
      <c r="B8" s="8" t="n">
        <v>19800</v>
      </c>
      <c r="C8" s="8" t="n">
        <v>18600</v>
      </c>
      <c r="D8" s="8" t="n">
        <v>-1200</v>
      </c>
      <c r="E8" s="8" t="n">
        <v>-6.1</v>
      </c>
      <c r="F8" s="8" t="n">
        <v>2700</v>
      </c>
      <c r="G8" s="8" t="n">
        <v>2210</v>
      </c>
      <c r="H8" s="8" t="n">
        <v>-490</v>
      </c>
      <c r="I8" s="8" t="inlineStr">
        <is>
          <t>BELOW — investigate</t>
        </is>
      </c>
    </row>
    <row r="9">
      <c r="A9" s="8" t="inlineStr">
        <is>
          <t>Detroit Plant</t>
        </is>
      </c>
      <c r="B9" s="8" t="n">
        <v>58200</v>
      </c>
      <c r="C9" s="8" t="n">
        <v>56900</v>
      </c>
      <c r="D9" s="8" t="n">
        <v>-1300</v>
      </c>
      <c r="E9" s="8" t="n">
        <v>-2.2</v>
      </c>
      <c r="F9" s="8" t="n">
        <v>9100</v>
      </c>
      <c r="G9" s="8" t="n">
        <v>8420</v>
      </c>
      <c r="H9" s="8" t="n">
        <v>-680</v>
      </c>
      <c r="I9" s="8" t="inlineStr">
        <is>
          <t>BELOW — investigate</t>
        </is>
      </c>
    </row>
    <row r="10">
      <c r="A10" s="4" t="inlineStr">
        <is>
          <t>Pittsburgh Plant</t>
        </is>
      </c>
      <c r="B10" s="4" t="n">
        <v>46300</v>
      </c>
      <c r="C10" s="4" t="n">
        <v>47800</v>
      </c>
      <c r="D10" s="4" t="n">
        <v>1500</v>
      </c>
      <c r="E10" s="4" t="n">
        <v>3.2</v>
      </c>
      <c r="F10" s="4" t="n">
        <v>7400</v>
      </c>
      <c r="G10" s="4" t="n">
        <v>7820</v>
      </c>
      <c r="H10" s="4" t="n">
        <v>420</v>
      </c>
      <c r="I10" s="4" t="inlineStr">
        <is>
          <t>On / Above</t>
        </is>
      </c>
    </row>
    <row r="11">
      <c r="A11" s="4" t="inlineStr">
        <is>
          <t>Düsseldorf Plant</t>
        </is>
      </c>
      <c r="B11" s="4" t="n">
        <v>32100</v>
      </c>
      <c r="C11" s="4" t="n">
        <v>34500</v>
      </c>
      <c r="D11" s="4" t="n">
        <v>2400</v>
      </c>
      <c r="E11" s="4" t="n">
        <v>7.5</v>
      </c>
      <c r="F11" s="4" t="n">
        <v>5300</v>
      </c>
      <c r="G11" s="4" t="n">
        <v>5980</v>
      </c>
      <c r="H11" s="4" t="n">
        <v>680</v>
      </c>
      <c r="I11" s="4" t="inlineStr">
        <is>
          <t>On / Above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7" customWidth="1" min="3" max="3"/>
    <col width="17" customWidth="1" min="4" max="4"/>
    <col width="13" customWidth="1" min="5" max="5"/>
    <col width="22" customWidth="1" min="6" max="6"/>
    <col width="17" customWidth="1" min="7" max="7"/>
    <col width="22" customWidth="1" min="8" max="8"/>
    <col width="18" customWidth="1" min="9" max="9"/>
  </cols>
  <sheetData>
    <row r="1">
      <c r="A1" s="7" t="inlineStr">
        <is>
          <t>Q1 FY26 — Sustainability KPIs</t>
        </is>
      </c>
    </row>
    <row r="2"/>
    <row r="3">
      <c r="A3" s="3" t="inlineStr">
        <is>
          <t>Site</t>
        </is>
      </c>
      <c r="B3" s="3" t="inlineStr">
        <is>
          <t>Scope 1 (tCO2e)</t>
        </is>
      </c>
      <c r="C3" s="3" t="inlineStr">
        <is>
          <t>Scope 2 (tCO2e)</t>
        </is>
      </c>
      <c r="D3" s="3" t="inlineStr">
        <is>
          <t>Scope 3 (tCO2e)</t>
        </is>
      </c>
      <c r="E3" s="3" t="inlineStr">
        <is>
          <t>Total tCO2e</t>
        </is>
      </c>
      <c r="F3" s="3" t="inlineStr">
        <is>
          <t>Intensity (tCO2e / t output)</t>
        </is>
      </c>
      <c r="G3" s="3" t="inlineStr">
        <is>
          <t>Water (m3 000s)</t>
        </is>
      </c>
      <c r="H3" s="3" t="inlineStr">
        <is>
          <t>Waste-to-landfill (t)</t>
        </is>
      </c>
      <c r="I3" s="3" t="inlineStr">
        <is>
          <t>Certification</t>
        </is>
      </c>
    </row>
    <row r="4">
      <c r="A4" s="4" t="inlineStr">
        <is>
          <t>Site Alpha</t>
        </is>
      </c>
      <c r="B4" s="4" t="n">
        <v>8420</v>
      </c>
      <c r="C4" s="4" t="n">
        <v>3210</v>
      </c>
      <c r="D4" s="4" t="n">
        <v>18900</v>
      </c>
      <c r="E4" s="4" t="n">
        <v>30530</v>
      </c>
      <c r="F4" s="4" t="n">
        <v>0.552</v>
      </c>
      <c r="G4" s="4" t="n">
        <v>228.5</v>
      </c>
      <c r="H4" s="4" t="n">
        <v>87.09999999999999</v>
      </c>
      <c r="I4" s="4" t="inlineStr">
        <is>
          <t>ISO 14001</t>
        </is>
      </c>
    </row>
    <row r="5">
      <c r="A5" s="4" t="inlineStr">
        <is>
          <t>Site Beta</t>
        </is>
      </c>
      <c r="B5" s="4" t="n">
        <v>7180</v>
      </c>
      <c r="C5" s="4" t="n">
        <v>2850</v>
      </c>
      <c r="D5" s="4" t="n">
        <v>16200</v>
      </c>
      <c r="E5" s="4" t="n">
        <v>26230</v>
      </c>
      <c r="F5" s="4" t="n">
        <v>0.539</v>
      </c>
      <c r="G5" s="4" t="n">
        <v>358.1</v>
      </c>
      <c r="H5" s="4" t="n">
        <v>40.5</v>
      </c>
      <c r="I5" s="4" t="inlineStr">
        <is>
          <t>ISO 14001</t>
        </is>
      </c>
    </row>
    <row r="6">
      <c r="A6" s="4" t="inlineStr">
        <is>
          <t>Site Gamma</t>
        </is>
      </c>
      <c r="B6" s="4" t="n">
        <v>5210</v>
      </c>
      <c r="C6" s="4" t="n">
        <v>1890</v>
      </c>
      <c r="D6" s="4" t="n">
        <v>12400</v>
      </c>
      <c r="E6" s="4" t="n">
        <v>19500</v>
      </c>
      <c r="F6" s="4" t="n">
        <v>0.538</v>
      </c>
      <c r="G6" s="4" t="n">
        <v>357.3</v>
      </c>
      <c r="H6" s="4" t="n">
        <v>95.90000000000001</v>
      </c>
      <c r="I6" s="4" t="inlineStr">
        <is>
          <t>ISO 14001 + ISCC</t>
        </is>
      </c>
    </row>
    <row r="7">
      <c r="A7" s="4" t="inlineStr">
        <is>
          <t>Site Delta</t>
        </is>
      </c>
      <c r="B7" s="4" t="n">
        <v>9650</v>
      </c>
      <c r="C7" s="4" t="n">
        <v>3680</v>
      </c>
      <c r="D7" s="4" t="n">
        <v>21800</v>
      </c>
      <c r="E7" s="4" t="n">
        <v>35130</v>
      </c>
      <c r="F7" s="4" t="n">
        <v>0.579</v>
      </c>
      <c r="G7" s="4" t="n">
        <v>254.9</v>
      </c>
      <c r="H7" s="4" t="n">
        <v>52.4</v>
      </c>
      <c r="I7" s="4" t="inlineStr">
        <is>
          <t>ISCC</t>
        </is>
      </c>
    </row>
    <row r="8">
      <c r="A8" s="4" t="inlineStr">
        <is>
          <t>Site Epsilon</t>
        </is>
      </c>
      <c r="B8" s="4" t="n">
        <v>4820</v>
      </c>
      <c r="C8" s="4" t="n">
        <v>1740</v>
      </c>
      <c r="D8" s="4" t="n">
        <v>10200</v>
      </c>
      <c r="E8" s="4" t="n">
        <v>16760</v>
      </c>
      <c r="F8" s="4" t="n">
        <v>0.593</v>
      </c>
      <c r="G8" s="4" t="n">
        <v>390.6</v>
      </c>
      <c r="H8" s="4" t="n">
        <v>66.90000000000001</v>
      </c>
      <c r="I8" s="4" t="inlineStr">
        <is>
          <t>In progress</t>
        </is>
      </c>
    </row>
    <row r="9">
      <c r="A9" s="4" t="inlineStr">
        <is>
          <t>Detroit Plant</t>
        </is>
      </c>
      <c r="B9" s="4" t="n">
        <v>12400</v>
      </c>
      <c r="C9" s="4" t="n">
        <v>4810</v>
      </c>
      <c r="D9" s="4" t="n">
        <v>9800</v>
      </c>
      <c r="E9" s="4" t="n">
        <v>27010</v>
      </c>
      <c r="F9" s="4" t="n">
        <v>0.367</v>
      </c>
      <c r="G9" s="4" t="n">
        <v>200.4</v>
      </c>
      <c r="H9" s="4" t="n">
        <v>47.7</v>
      </c>
      <c r="I9" s="4" t="inlineStr">
        <is>
          <t>ISO 14001 + ISCC</t>
        </is>
      </c>
    </row>
    <row r="10">
      <c r="A10" s="4" t="inlineStr">
        <is>
          <t>Pittsburgh Plant</t>
        </is>
      </c>
      <c r="B10" s="4" t="n">
        <v>10200</v>
      </c>
      <c r="C10" s="4" t="n">
        <v>4120</v>
      </c>
      <c r="D10" s="4" t="n">
        <v>8200</v>
      </c>
      <c r="E10" s="4" t="n">
        <v>22520</v>
      </c>
      <c r="F10" s="4" t="n">
        <v>0.387</v>
      </c>
      <c r="G10" s="4" t="n">
        <v>366.4</v>
      </c>
      <c r="H10" s="4" t="n">
        <v>88.3</v>
      </c>
      <c r="I10" s="4" t="inlineStr">
        <is>
          <t>ISO 14001</t>
        </is>
      </c>
    </row>
    <row r="11">
      <c r="A11" s="4" t="inlineStr">
        <is>
          <t>Düsseldorf Plant</t>
        </is>
      </c>
      <c r="B11" s="4" t="n">
        <v>6800</v>
      </c>
      <c r="C11" s="4" t="n">
        <v>2410</v>
      </c>
      <c r="D11" s="4" t="n">
        <v>5900</v>
      </c>
      <c r="E11" s="4" t="n">
        <v>15110</v>
      </c>
      <c r="F11" s="4" t="n">
        <v>0.446</v>
      </c>
      <c r="G11" s="4" t="n">
        <v>357.6</v>
      </c>
      <c r="H11" s="4" t="n">
        <v>98.40000000000001</v>
      </c>
      <c r="I11" s="4" t="inlineStr">
        <is>
          <t>ISO 14001 + ISCC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2026-05-10T15:08:40Z</dcterms:created>
  <dcterms:modified xmlns:dcterms="http://purl.org/dc/terms/" xmlns:xsi="http://www.w3.org/2001/XMLSchema-instance" xsi:type="dcterms:W3CDTF">2026-05-10T15:08:40Z</dcterms:modified>
</cp:coreProperties>
</file>